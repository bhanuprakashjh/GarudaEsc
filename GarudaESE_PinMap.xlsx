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U Pins" sheetId="1" state="visible" r:id="rId1"/>
    <sheet xmlns:r="http://schemas.openxmlformats.org/officeDocument/2006/relationships" name="Connectors" sheetId="2" state="visible" r:id="rId2"/>
    <sheet xmlns:r="http://schemas.openxmlformats.org/officeDocument/2006/relationships" name="Passiv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F6F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4" customWidth="1" min="3" max="3"/>
    <col width="22" customWidth="1" min="4" max="4"/>
    <col width="40" customWidth="1" min="5" max="5"/>
    <col width="8" customWidth="1" min="6" max="6"/>
  </cols>
  <sheetData>
    <row r="1" ht="28" customHeight="1">
      <c r="A1" s="1" t="inlineStr">
        <is>
          <t>Function block</t>
        </is>
      </c>
      <c r="B1" s="1" t="inlineStr">
        <is>
          <t>Net / signal</t>
        </is>
      </c>
      <c r="C1" s="1" t="inlineStr">
        <is>
          <t>dsPIC pin</t>
        </is>
      </c>
      <c r="D1" s="1" t="inlineStr">
        <is>
          <t>Port / AN / RP</t>
        </is>
      </c>
      <c r="E1" s="1" t="inlineStr">
        <is>
          <t>→ ATA6847 / detail</t>
        </is>
      </c>
      <c r="F1" s="1" t="inlineStr">
        <is>
          <t>Source</t>
        </is>
      </c>
    </row>
    <row r="2">
      <c r="A2" s="2" t="inlineStr">
        <is>
          <t>PWM</t>
        </is>
      </c>
      <c r="B2" s="2" t="inlineStr">
        <is>
          <t>PWM1H</t>
        </is>
      </c>
      <c r="C2" s="2" t="inlineStr">
        <is>
          <t>51</t>
        </is>
      </c>
      <c r="D2" s="2" t="inlineStr">
        <is>
          <t>RD2 / PG1H</t>
        </is>
      </c>
      <c r="E2" s="2" t="inlineStr">
        <is>
          <t>NBH1 (ATA36) active-LOW HS</t>
        </is>
      </c>
      <c r="F2" s="2" t="inlineStr">
        <is>
          <t>READ</t>
        </is>
      </c>
    </row>
    <row r="3">
      <c r="A3" s="3" t="inlineStr">
        <is>
          <t>PWM</t>
        </is>
      </c>
      <c r="B3" s="3" t="inlineStr">
        <is>
          <t>PWM1L</t>
        </is>
      </c>
      <c r="C3" s="3" t="inlineStr">
        <is>
          <t>52</t>
        </is>
      </c>
      <c r="D3" s="3" t="inlineStr">
        <is>
          <t>RD3 / PG1L</t>
        </is>
      </c>
      <c r="E3" s="3" t="inlineStr">
        <is>
          <t>IL1 (ATA35)</t>
        </is>
      </c>
      <c r="F3" s="3" t="inlineStr">
        <is>
          <t>READ</t>
        </is>
      </c>
    </row>
    <row r="4">
      <c r="A4" s="2" t="inlineStr">
        <is>
          <t>PWM</t>
        </is>
      </c>
      <c r="B4" s="2" t="inlineStr">
        <is>
          <t>PWM2H</t>
        </is>
      </c>
      <c r="C4" s="2" t="inlineStr">
        <is>
          <t>49</t>
        </is>
      </c>
      <c r="D4" s="2" t="inlineStr">
        <is>
          <t>RD0</t>
        </is>
      </c>
      <c r="E4" s="2" t="inlineStr">
        <is>
          <t>NBH2 (RP49/PWM2H/RD0)</t>
        </is>
      </c>
      <c r="F4" s="2" t="inlineStr">
        <is>
          <t>READ</t>
        </is>
      </c>
    </row>
    <row r="5">
      <c r="A5" s="3" t="inlineStr">
        <is>
          <t>PWM</t>
        </is>
      </c>
      <c r="B5" s="3" t="inlineStr">
        <is>
          <t>PWM2L</t>
        </is>
      </c>
      <c r="C5" s="3" t="inlineStr">
        <is>
          <t>50</t>
        </is>
      </c>
      <c r="D5" s="3" t="inlineStr">
        <is>
          <t>RD1</t>
        </is>
      </c>
      <c r="E5" s="3" t="inlineStr">
        <is>
          <t>IL2 (ATA37) (TCK/RP50/PWM2L/RD1)</t>
        </is>
      </c>
      <c r="F5" s="3" t="inlineStr">
        <is>
          <t>READ</t>
        </is>
      </c>
    </row>
    <row r="6">
      <c r="A6" s="2" t="inlineStr">
        <is>
          <t>PWM</t>
        </is>
      </c>
      <c r="B6" s="2" t="inlineStr">
        <is>
          <t>PWM3H</t>
        </is>
      </c>
      <c r="C6" s="2" t="inlineStr">
        <is>
          <t>43</t>
        </is>
      </c>
      <c r="D6" s="2" t="inlineStr">
        <is>
          <t>RC3</t>
        </is>
      </c>
      <c r="E6" s="2" t="inlineStr">
        <is>
          <t>NBH3 (ATA40) (RP36/PWM3H/RC3)</t>
        </is>
      </c>
      <c r="F6" s="2" t="inlineStr">
        <is>
          <t>READ</t>
        </is>
      </c>
    </row>
    <row r="7">
      <c r="A7" s="3" t="inlineStr">
        <is>
          <t>PWM</t>
        </is>
      </c>
      <c r="B7" s="3" t="inlineStr">
        <is>
          <t>PWM3L</t>
        </is>
      </c>
      <c r="C7" s="3" t="inlineStr">
        <is>
          <t>44</t>
        </is>
      </c>
      <c r="D7" s="3" t="inlineStr">
        <is>
          <t>RC4</t>
        </is>
      </c>
      <c r="E7" s="3" t="inlineStr">
        <is>
          <t>IL3 (ATA39) (RP37/PWM3L/RC4)</t>
        </is>
      </c>
      <c r="F7" s="3" t="inlineStr">
        <is>
          <t>READ</t>
        </is>
      </c>
    </row>
    <row r="8">
      <c r="A8" s="2" t="inlineStr">
        <is>
          <t>SPI2</t>
        </is>
      </c>
      <c r="B8" s="2" t="inlineStr">
        <is>
          <t>SPI_SCK</t>
        </is>
      </c>
      <c r="C8" s="2" t="inlineStr">
        <is>
          <t>31</t>
        </is>
      </c>
      <c r="D8" s="2" t="inlineStr">
        <is>
          <t>RB10 / SCK2 (RP27)</t>
        </is>
      </c>
      <c r="E8" s="2" t="inlineStr">
        <is>
          <t>ATA SCK 47</t>
        </is>
      </c>
      <c r="F8" s="2" t="inlineStr">
        <is>
          <t>READ</t>
        </is>
      </c>
    </row>
    <row r="9">
      <c r="A9" s="3" t="inlineStr">
        <is>
          <t>SPI2</t>
        </is>
      </c>
      <c r="B9" s="3" t="inlineStr">
        <is>
          <t>SPI_SDI (ATA-&gt;MCU)</t>
        </is>
      </c>
      <c r="C9" s="3" t="inlineStr">
        <is>
          <t>32</t>
        </is>
      </c>
      <c r="D9" s="3" t="inlineStr">
        <is>
          <t>RB11 / SDI2 (RP28)</t>
        </is>
      </c>
      <c r="E9" s="3" t="inlineStr">
        <is>
          <t>ATA SDO 45</t>
        </is>
      </c>
      <c r="F9" s="3" t="inlineStr">
        <is>
          <t>READ</t>
        </is>
      </c>
    </row>
    <row r="10">
      <c r="A10" s="2" t="inlineStr">
        <is>
          <t>SPI2</t>
        </is>
      </c>
      <c r="B10" s="2" t="inlineStr">
        <is>
          <t>SPI_SDO (MCU-&gt;ATA)</t>
        </is>
      </c>
      <c r="C10" s="2" t="inlineStr">
        <is>
          <t>34</t>
        </is>
      </c>
      <c r="D10" s="2" t="inlineStr">
        <is>
          <t>RC9 / SDO2 (RP42)</t>
        </is>
      </c>
      <c r="E10" s="2" t="inlineStr">
        <is>
          <t>ATA SDI 46</t>
        </is>
      </c>
      <c r="F10" s="2" t="inlineStr">
        <is>
          <t>READ</t>
        </is>
      </c>
    </row>
    <row r="11">
      <c r="A11" s="3" t="inlineStr">
        <is>
          <t>SPI2</t>
        </is>
      </c>
      <c r="B11" s="3" t="inlineStr">
        <is>
          <t>SPI_NCS (GPIO)</t>
        </is>
      </c>
      <c r="C11" s="3" t="inlineStr">
        <is>
          <t>33</t>
        </is>
      </c>
      <c r="D11" s="3" t="inlineStr">
        <is>
          <t>RC8 (RP41)</t>
        </is>
      </c>
      <c r="E11" s="3" t="inlineStr">
        <is>
          <t>ATA NCS 44</t>
        </is>
      </c>
      <c r="F11" s="3" t="inlineStr">
        <is>
          <t>READ</t>
        </is>
      </c>
    </row>
    <row r="12">
      <c r="A12" s="2" t="inlineStr">
        <is>
          <t>SPI2</t>
        </is>
      </c>
      <c r="B12" s="2" t="inlineStr">
        <is>
          <t>SPI_NIRQ (GPIO in)</t>
        </is>
      </c>
      <c r="C12" s="2" t="inlineStr">
        <is>
          <t>35</t>
        </is>
      </c>
      <c r="D12" s="2" t="inlineStr">
        <is>
          <t>RC6 (RP39)</t>
        </is>
      </c>
      <c r="E12" s="2" t="inlineStr">
        <is>
          <t>ATA NIRQ 41</t>
        </is>
      </c>
      <c r="F12" s="2" t="inlineStr">
        <is>
          <t>READ</t>
        </is>
      </c>
    </row>
    <row r="13">
      <c r="A13" s="3" t="inlineStr">
        <is>
          <t>Comms</t>
        </is>
      </c>
      <c r="B13" s="3" t="inlineStr">
        <is>
          <t>DShot (bidir)</t>
        </is>
      </c>
      <c r="C13" s="3" t="inlineStr">
        <is>
          <t>59</t>
        </is>
      </c>
      <c r="D13" s="3" t="inlineStr">
        <is>
          <t>RD5 (RP54)</t>
        </is>
      </c>
      <c r="E13" s="3" t="inlineStr">
        <is>
          <t>J1.7 — candidate ARM switch</t>
        </is>
      </c>
      <c r="F13" s="3" t="inlineStr">
        <is>
          <t>READ</t>
        </is>
      </c>
    </row>
    <row r="14">
      <c r="A14" s="2" t="inlineStr">
        <is>
          <t>Comms</t>
        </is>
      </c>
      <c r="B14" s="2" t="inlineStr">
        <is>
          <t>TELE_TX</t>
        </is>
      </c>
      <c r="C14" s="2" t="inlineStr">
        <is>
          <t>60</t>
        </is>
      </c>
      <c r="D14" s="2" t="inlineStr">
        <is>
          <t>RD6 (RP55)</t>
        </is>
      </c>
      <c r="E14" s="2" t="inlineStr">
        <is>
          <t>J1.6</t>
        </is>
      </c>
      <c r="F14" s="2" t="inlineStr">
        <is>
          <t>READ</t>
        </is>
      </c>
    </row>
    <row r="15">
      <c r="A15" s="3" t="inlineStr">
        <is>
          <t>Comms</t>
        </is>
      </c>
      <c r="B15" s="3" t="inlineStr">
        <is>
          <t>TELE_RX</t>
        </is>
      </c>
      <c r="C15" s="3" t="inlineStr">
        <is>
          <t>61</t>
        </is>
      </c>
      <c r="D15" s="3" t="inlineStr">
        <is>
          <t>RD4 (RP53)</t>
        </is>
      </c>
      <c r="E15" s="3" t="inlineStr">
        <is>
          <t>J1.5</t>
        </is>
      </c>
      <c r="F15" s="3" t="inlineStr">
        <is>
          <t>READ</t>
        </is>
      </c>
    </row>
    <row r="16">
      <c r="A16" s="2" t="inlineStr">
        <is>
          <t>Comms</t>
        </is>
      </c>
      <c r="B16" s="2" t="inlineStr">
        <is>
          <t>DEBUG_TX (GSP)</t>
        </is>
      </c>
      <c r="C16" s="2" t="inlineStr">
        <is>
          <t>62</t>
        </is>
      </c>
      <c r="D16" s="2" t="inlineStr">
        <is>
          <t>RD7 (RP56)</t>
        </is>
      </c>
      <c r="E16" s="2" t="inlineStr">
        <is>
          <t>J1.3</t>
        </is>
      </c>
      <c r="F16" s="2" t="inlineStr">
        <is>
          <t>READ</t>
        </is>
      </c>
    </row>
    <row r="17">
      <c r="A17" s="3" t="inlineStr">
        <is>
          <t>Comms</t>
        </is>
      </c>
      <c r="B17" s="3" t="inlineStr">
        <is>
          <t>DEBUG_RX (GSP)</t>
        </is>
      </c>
      <c r="C17" s="3" t="inlineStr">
        <is>
          <t>63</t>
        </is>
      </c>
      <c r="D17" s="3" t="inlineStr">
        <is>
          <t>RD8 (RP57)</t>
        </is>
      </c>
      <c r="E17" s="3" t="inlineStr">
        <is>
          <t>J1.2</t>
        </is>
      </c>
      <c r="F17" s="3" t="inlineStr">
        <is>
          <t>READ</t>
        </is>
      </c>
    </row>
    <row r="18">
      <c r="A18" s="2" t="inlineStr">
        <is>
          <t>Comms</t>
        </is>
      </c>
      <c r="B18" s="2" t="inlineStr">
        <is>
          <t>CAN_TX</t>
        </is>
      </c>
      <c r="C18" s="2" t="inlineStr">
        <is>
          <t>45</t>
        </is>
      </c>
      <c r="D18" s="2" t="inlineStr">
        <is>
          <t>RC10 (RP43)</t>
        </is>
      </c>
      <c r="E18" s="2" t="inlineStr">
        <is>
          <t>-&gt; ATA6561</t>
        </is>
      </c>
      <c r="F18" s="2" t="inlineStr">
        <is>
          <t>READ</t>
        </is>
      </c>
    </row>
    <row r="19">
      <c r="A19" s="3" t="inlineStr">
        <is>
          <t>Comms</t>
        </is>
      </c>
      <c r="B19" s="3" t="inlineStr">
        <is>
          <t>CAN_RX</t>
        </is>
      </c>
      <c r="C19" s="3" t="inlineStr">
        <is>
          <t>46</t>
        </is>
      </c>
      <c r="D19" s="3" t="inlineStr">
        <is>
          <t>RC11 (RP44)</t>
        </is>
      </c>
      <c r="E19" s="3" t="inlineStr">
        <is>
          <t>&lt;- ATA6561</t>
        </is>
      </c>
      <c r="F19" s="3" t="inlineStr">
        <is>
          <t>READ</t>
        </is>
      </c>
    </row>
    <row r="20">
      <c r="A20" s="2" t="inlineStr">
        <is>
          <t>Comms</t>
        </is>
      </c>
      <c r="B20" s="2" t="inlineStr">
        <is>
          <t>CAN_STBY</t>
        </is>
      </c>
      <c r="C20" s="2" t="inlineStr">
        <is>
          <t>30</t>
        </is>
      </c>
      <c r="D20" s="2" t="inlineStr">
        <is>
          <t>RB7</t>
        </is>
      </c>
      <c r="E20" s="2" t="inlineStr">
        <is>
          <t>STBY low=normal</t>
        </is>
      </c>
      <c r="F20" s="2" t="inlineStr">
        <is>
          <t>READ</t>
        </is>
      </c>
    </row>
    <row r="21">
      <c r="A21" s="3" t="inlineStr">
        <is>
          <t>Status</t>
        </is>
      </c>
      <c r="B21" s="3" t="inlineStr">
        <is>
          <t>LED D4 orange</t>
        </is>
      </c>
      <c r="C21" s="3" t="inlineStr">
        <is>
          <t>39</t>
        </is>
      </c>
      <c r="D21" s="3" t="inlineStr">
        <is>
          <t>RC0 (OSCO/CLKO)</t>
        </is>
      </c>
      <c r="E21" s="3" t="inlineStr">
        <is>
          <t>via R11 2.2k (verified)</t>
        </is>
      </c>
      <c r="F21" s="3" t="inlineStr">
        <is>
          <t>READ</t>
        </is>
      </c>
    </row>
    <row r="22">
      <c r="A22" s="2" t="inlineStr">
        <is>
          <t>Analog</t>
        </is>
      </c>
      <c r="B22" s="2" t="inlineStr">
        <is>
          <t>TEMP</t>
        </is>
      </c>
      <c r="C22" s="2" t="inlineStr">
        <is>
          <t>1</t>
        </is>
      </c>
      <c r="D22" s="2" t="inlineStr">
        <is>
          <t>RA0 / AD3AN5</t>
        </is>
      </c>
      <c r="E22" s="2" t="inlineStr">
        <is>
          <t>10k NTC / 4.7k</t>
        </is>
      </c>
      <c r="F22" s="2" t="inlineStr">
        <is>
          <t>READ</t>
        </is>
      </c>
    </row>
    <row r="23">
      <c r="A23" s="3" t="inlineStr">
        <is>
          <t>Analog</t>
        </is>
      </c>
      <c r="B23" s="3" t="inlineStr">
        <is>
          <t>VBUS</t>
        </is>
      </c>
      <c r="C23" s="3" t="inlineStr">
        <is>
          <t>2</t>
        </is>
      </c>
      <c r="D23" s="3" t="inlineStr">
        <is>
          <t>RA7 / AD5AN0</t>
        </is>
      </c>
      <c r="E23" s="3" t="inlineStr">
        <is>
          <t>0.0769 (42V FS)</t>
        </is>
      </c>
      <c r="F23" s="3" t="inlineStr">
        <is>
          <t>READ</t>
        </is>
      </c>
    </row>
    <row r="24">
      <c r="A24" s="2" t="inlineStr">
        <is>
          <t>Analog</t>
        </is>
      </c>
      <c r="B24" s="2" t="inlineStr">
        <is>
          <t>BEMF_W (divider)</t>
        </is>
      </c>
      <c r="C24" s="2" t="inlineStr">
        <is>
          <t>3</t>
        </is>
      </c>
      <c r="D24" s="2" t="inlineStr">
        <is>
          <t>RA1 / AD5AN1</t>
        </is>
      </c>
      <c r="E24" s="2" t="inlineStr">
        <is>
          <t>0.0769</t>
        </is>
      </c>
      <c r="F24" s="2" t="inlineStr">
        <is>
          <t>READ</t>
        </is>
      </c>
    </row>
    <row r="25">
      <c r="A25" s="3" t="inlineStr">
        <is>
          <t>Analog</t>
        </is>
      </c>
      <c r="B25" s="3" t="inlineStr">
        <is>
          <t>BEMF_N (neutral)</t>
        </is>
      </c>
      <c r="C25" s="3" t="inlineStr">
        <is>
          <t>6</t>
        </is>
      </c>
      <c r="D25" s="3" t="inlineStr">
        <is>
          <t>RA11 / AD5AN2</t>
        </is>
      </c>
      <c r="E25" s="3" t="inlineStr">
        <is>
          <t>3x24k star</t>
        </is>
      </c>
      <c r="F25" s="3" t="inlineStr">
        <is>
          <t>READ</t>
        </is>
      </c>
    </row>
    <row r="26">
      <c r="A26" s="2" t="inlineStr">
        <is>
          <t>Analog</t>
        </is>
      </c>
      <c r="B26" s="2" t="inlineStr">
        <is>
          <t>UREF (DAC)</t>
        </is>
      </c>
      <c r="C26" s="2" t="inlineStr">
        <is>
          <t>7</t>
        </is>
      </c>
      <c r="D26" s="2" t="inlineStr">
        <is>
          <t>RA8 / DACOUT2</t>
        </is>
      </c>
      <c r="E26" s="2" t="inlineStr">
        <is>
          <t>op-amp ref</t>
        </is>
      </c>
      <c r="F26" s="2" t="inlineStr">
        <is>
          <t>READ</t>
        </is>
      </c>
    </row>
    <row r="27">
      <c r="A27" s="3" t="inlineStr">
        <is>
          <t>Analog</t>
        </is>
      </c>
      <c r="B27" s="3" t="inlineStr">
        <is>
          <t>ATA_BEMF_U (DIGITAL)</t>
        </is>
      </c>
      <c r="C27" s="3" t="inlineStr">
        <is>
          <t>8</t>
        </is>
      </c>
      <c r="D27" s="3" t="inlineStr">
        <is>
          <t>RA9 (AD1AN3)</t>
        </is>
      </c>
      <c r="E27" s="3" t="inlineStr">
        <is>
          <t>ATA comparator BEMF1 -&gt; GPIO ZC</t>
        </is>
      </c>
      <c r="F27" s="3" t="inlineStr">
        <is>
          <t>READ</t>
        </is>
      </c>
    </row>
    <row r="28">
      <c r="A28" s="2" t="inlineStr">
        <is>
          <t>Analog</t>
        </is>
      </c>
      <c r="B28" s="2" t="inlineStr">
        <is>
          <t>ATA_BEMF_V (DIGITAL)</t>
        </is>
      </c>
      <c r="C28" s="2" t="inlineStr">
        <is>
          <t>9</t>
        </is>
      </c>
      <c r="D28" s="2" t="inlineStr">
        <is>
          <t>RA10 (AD1AN4)</t>
        </is>
      </c>
      <c r="E28" s="2" t="inlineStr">
        <is>
          <t>ATA comparator BEMF2 -&gt; GPIO ZC</t>
        </is>
      </c>
      <c r="F28" s="2" t="inlineStr">
        <is>
          <t>READ</t>
        </is>
      </c>
    </row>
    <row r="29">
      <c r="A29" s="3" t="inlineStr">
        <is>
          <t>Analog</t>
        </is>
      </c>
      <c r="B29" s="3" t="inlineStr">
        <is>
          <t>ATA_BEMF_W (DIGITAL)</t>
        </is>
      </c>
      <c r="C29" s="3" t="inlineStr">
        <is>
          <t>24</t>
        </is>
      </c>
      <c r="D29" s="3" t="inlineStr">
        <is>
          <t>RB9 (AD2AN3)</t>
        </is>
      </c>
      <c r="E29" s="3" t="inlineStr">
        <is>
          <t>ATA comparator BEMF3 -&gt; GPIO ZC</t>
        </is>
      </c>
      <c r="F29" s="3" t="inlineStr">
        <is>
          <t>READ</t>
        </is>
      </c>
    </row>
    <row r="30">
      <c r="A30" s="2" t="inlineStr">
        <is>
          <t>Analog</t>
        </is>
      </c>
      <c r="B30" s="2" t="inlineStr">
        <is>
          <t>BEMF_U (divider)</t>
        </is>
      </c>
      <c r="C30" s="2" t="inlineStr">
        <is>
          <t>17</t>
        </is>
      </c>
      <c r="D30" s="2" t="inlineStr">
        <is>
          <t>RB5 / AD3AN1</t>
        </is>
      </c>
      <c r="E30" s="2" t="inlineStr">
        <is>
          <t>0.0769</t>
        </is>
      </c>
      <c r="F30" s="2" t="inlineStr">
        <is>
          <t>READ</t>
        </is>
      </c>
    </row>
    <row r="31">
      <c r="A31" s="3" t="inlineStr">
        <is>
          <t>Analog</t>
        </is>
      </c>
      <c r="B31" s="3" t="inlineStr">
        <is>
          <t>BEMF_V (divider)</t>
        </is>
      </c>
      <c r="C31" s="3" t="inlineStr">
        <is>
          <t>23</t>
        </is>
      </c>
      <c r="D31" s="3" t="inlineStr">
        <is>
          <t>RB8 / AD2AN4</t>
        </is>
      </c>
      <c r="E31" s="3" t="inlineStr">
        <is>
          <t>0.0769</t>
        </is>
      </c>
      <c r="F31" s="3" t="inlineStr">
        <is>
          <t>READ</t>
        </is>
      </c>
    </row>
    <row r="32">
      <c r="A32" s="2" t="inlineStr">
        <is>
          <t>Analog</t>
        </is>
      </c>
      <c r="B32" s="2" t="inlineStr">
        <is>
          <t>Speed (RESERVED, unrouted)</t>
        </is>
      </c>
      <c r="C32" s="2" t="inlineStr">
        <is>
          <t>16</t>
        </is>
      </c>
      <c r="D32" s="2" t="inlineStr">
        <is>
          <t>RA6 / AD3AN2</t>
        </is>
      </c>
      <c r="E32" s="2" t="inlineStr">
        <is>
          <t>reserved throttle net — not on any connector/TP (rework only)</t>
        </is>
      </c>
      <c r="F32" s="2" t="inlineStr">
        <is>
          <t>READ</t>
        </is>
      </c>
    </row>
    <row r="33">
      <c r="A33" s="3" t="inlineStr">
        <is>
          <t>Analog</t>
        </is>
      </c>
      <c r="B33" s="3" t="inlineStr">
        <is>
          <t>W current pin (ATA out)</t>
        </is>
      </c>
      <c r="C33" s="3" t="inlineStr">
        <is>
          <t>15</t>
        </is>
      </c>
      <c r="D33" s="3" t="inlineStr">
        <is>
          <t>RA5 / AD3AN0</t>
        </is>
      </c>
      <c r="E33" s="3" t="inlineStr">
        <is>
          <t>INACTIVE in BEMF mode (ATA=comparators)</t>
        </is>
      </c>
      <c r="F33" s="3" t="inlineStr">
        <is>
          <t>READ</t>
        </is>
      </c>
    </row>
    <row r="34">
      <c r="A34" s="2" t="inlineStr">
        <is>
          <t>Analog</t>
        </is>
      </c>
      <c r="B34" s="2" t="inlineStr">
        <is>
          <t>DC-bus current pin (ATA out)</t>
        </is>
      </c>
      <c r="C34" s="2" t="inlineStr">
        <is>
          <t>28</t>
        </is>
      </c>
      <c r="D34" s="2" t="inlineStr">
        <is>
          <t>RB4 / AD4AN0</t>
        </is>
      </c>
      <c r="E34" s="2" t="inlineStr">
        <is>
          <t>INACTIVE in BEMF mode; Iw=-(Iu+Iv)</t>
        </is>
      </c>
      <c r="F34" s="2" t="inlineStr">
        <is>
          <t>READ</t>
        </is>
      </c>
    </row>
    <row r="35">
      <c r="A35" s="3" t="inlineStr">
        <is>
          <t>Analog</t>
        </is>
      </c>
      <c r="B35" s="3" t="inlineStr">
        <is>
          <t>U current OA1 OUT</t>
        </is>
      </c>
      <c r="C35" s="3" t="inlineStr">
        <is>
          <t>12</t>
        </is>
      </c>
      <c r="D35" s="3" t="inlineStr">
        <is>
          <t>RA2 / AD1AN0</t>
        </is>
      </c>
      <c r="E35" s="3" t="inlineStr">
        <is>
          <t>73mV/A @2mΩ</t>
        </is>
      </c>
      <c r="F35" s="3" t="inlineStr">
        <is>
          <t>READ</t>
        </is>
      </c>
    </row>
    <row r="36">
      <c r="A36" s="2" t="inlineStr">
        <is>
          <t>Analog</t>
        </is>
      </c>
      <c r="B36" s="2" t="inlineStr">
        <is>
          <t>U current OA1 IN-</t>
        </is>
      </c>
      <c r="C36" s="2" t="inlineStr">
        <is>
          <t>13</t>
        </is>
      </c>
      <c r="D36" s="2" t="inlineStr">
        <is>
          <t>RA3</t>
        </is>
      </c>
      <c r="E36" s="2" t="inlineStr"/>
      <c r="F36" s="2" t="inlineStr">
        <is>
          <t>READ</t>
        </is>
      </c>
    </row>
    <row r="37">
      <c r="A37" s="3" t="inlineStr">
        <is>
          <t>Analog</t>
        </is>
      </c>
      <c r="B37" s="3" t="inlineStr">
        <is>
          <t>U current OA1 IN+</t>
        </is>
      </c>
      <c r="C37" s="3" t="inlineStr">
        <is>
          <t>14</t>
        </is>
      </c>
      <c r="D37" s="3" t="inlineStr">
        <is>
          <t>RA4</t>
        </is>
      </c>
      <c r="E37" s="3" t="inlineStr"/>
      <c r="F37" s="3" t="inlineStr">
        <is>
          <t>READ</t>
        </is>
      </c>
    </row>
    <row r="38">
      <c r="A38" s="2" t="inlineStr">
        <is>
          <t>Analog</t>
        </is>
      </c>
      <c r="B38" s="2" t="inlineStr">
        <is>
          <t>V current OA2 OUT</t>
        </is>
      </c>
      <c r="C38" s="2" t="inlineStr">
        <is>
          <t>20</t>
        </is>
      </c>
      <c r="D38" s="2" t="inlineStr">
        <is>
          <t>RB0 / AD2AN0</t>
        </is>
      </c>
      <c r="E38" s="2" t="inlineStr">
        <is>
          <t>73mV/A</t>
        </is>
      </c>
      <c r="F38" s="2" t="inlineStr">
        <is>
          <t>READ</t>
        </is>
      </c>
    </row>
    <row r="39">
      <c r="A39" s="3" t="inlineStr">
        <is>
          <t>Analog</t>
        </is>
      </c>
      <c r="B39" s="3" t="inlineStr">
        <is>
          <t>V current OA2 IN-</t>
        </is>
      </c>
      <c r="C39" s="3" t="inlineStr">
        <is>
          <t>21</t>
        </is>
      </c>
      <c r="D39" s="3" t="inlineStr">
        <is>
          <t>RB1</t>
        </is>
      </c>
      <c r="E39" s="3" t="inlineStr"/>
      <c r="F39" s="3" t="inlineStr">
        <is>
          <t>READ</t>
        </is>
      </c>
    </row>
    <row r="40">
      <c r="A40" s="2" t="inlineStr">
        <is>
          <t>Analog</t>
        </is>
      </c>
      <c r="B40" s="2" t="inlineStr">
        <is>
          <t>V current OA2 IN+</t>
        </is>
      </c>
      <c r="C40" s="2" t="inlineStr">
        <is>
          <t>22</t>
        </is>
      </c>
      <c r="D40" s="2" t="inlineStr">
        <is>
          <t>RB2</t>
        </is>
      </c>
      <c r="E40" s="2" t="inlineStr"/>
      <c r="F40" s="2" t="inlineStr">
        <is>
          <t>READ</t>
        </is>
      </c>
    </row>
    <row r="41">
      <c r="A41" s="3" t="inlineStr">
        <is>
          <t>Analog</t>
        </is>
      </c>
      <c r="B41" s="3" t="inlineStr">
        <is>
          <t>free no-connect</t>
        </is>
      </c>
      <c r="C41" s="3" t="inlineStr">
        <is>
          <t>27</t>
        </is>
      </c>
      <c r="D41" s="3" t="inlineStr">
        <is>
          <t>RB3 / AD4AN3</t>
        </is>
      </c>
      <c r="E41" s="3" t="inlineStr">
        <is>
          <t>spare ADC pad (rework)</t>
        </is>
      </c>
      <c r="F41" s="3" t="inlineStr">
        <is>
          <t>READ</t>
        </is>
      </c>
    </row>
    <row r="42">
      <c r="A42" s="2" t="inlineStr">
        <is>
          <t>Analog</t>
        </is>
      </c>
      <c r="B42" s="2" t="inlineStr">
        <is>
          <t>free no-connect</t>
        </is>
      </c>
      <c r="C42" s="2" t="inlineStr">
        <is>
          <t>29</t>
        </is>
      </c>
      <c r="D42" s="2" t="inlineStr">
        <is>
          <t>RB6 / AD4AN1</t>
        </is>
      </c>
      <c r="E42" s="2" t="inlineStr">
        <is>
          <t>spare ADC pad (rework)</t>
        </is>
      </c>
      <c r="F42" s="2" t="inlineStr">
        <is>
          <t>READ</t>
        </is>
      </c>
    </row>
    <row r="43">
      <c r="A43" s="3" t="inlineStr">
        <is>
          <t>Clock</t>
        </is>
      </c>
      <c r="B43" s="3" t="inlineStr">
        <is>
          <t>OSC1/CLKI</t>
        </is>
      </c>
      <c r="C43" s="3" t="inlineStr">
        <is>
          <t>40</t>
        </is>
      </c>
      <c r="D43" s="3" t="inlineStr">
        <is>
          <t>RC1</t>
        </is>
      </c>
      <c r="E43" s="3" t="inlineStr">
        <is>
          <t>Y1 8MHz MEMS DSA6001</t>
        </is>
      </c>
      <c r="F43" s="3" t="inlineStr">
        <is>
          <t>READ</t>
        </is>
      </c>
    </row>
    <row r="44">
      <c r="A44" s="2" t="inlineStr">
        <is>
          <t>Reset</t>
        </is>
      </c>
      <c r="B44" s="2" t="inlineStr">
        <is>
          <t>MCLR</t>
        </is>
      </c>
      <c r="C44" s="2" t="inlineStr">
        <is>
          <t>64</t>
        </is>
      </c>
      <c r="D44" s="2" t="inlineStr">
        <is>
          <t>-</t>
        </is>
      </c>
      <c r="E44" s="2" t="inlineStr">
        <is>
          <t>J1.12, PWRGD-gated</t>
        </is>
      </c>
      <c r="F44" s="2" t="inlineStr">
        <is>
          <t>READ</t>
        </is>
      </c>
    </row>
    <row r="45">
      <c r="A45" s="3" t="inlineStr">
        <is>
          <t>Power</t>
        </is>
      </c>
      <c r="B45" s="3" t="inlineStr">
        <is>
          <t>VDD 3.3V</t>
        </is>
      </c>
      <c r="C45" s="3" t="inlineStr">
        <is>
          <t>5/19/26/38/48/58</t>
        </is>
      </c>
      <c r="D45" s="3" t="inlineStr">
        <is>
          <t>-</t>
        </is>
      </c>
      <c r="E45" s="3" t="inlineStr">
        <is>
          <t>C22 1uF + C23-C28 0.1uF (verify list)</t>
        </is>
      </c>
      <c r="F45" s="3" t="inlineStr">
        <is>
          <t>verify</t>
        </is>
      </c>
    </row>
    <row r="46">
      <c r="A46" s="2" t="inlineStr">
        <is>
          <t>Power</t>
        </is>
      </c>
      <c r="B46" s="2" t="inlineStr">
        <is>
          <t>AVDD</t>
        </is>
      </c>
      <c r="C46" s="2" t="inlineStr">
        <is>
          <t>11</t>
        </is>
      </c>
      <c r="D46" s="2" t="inlineStr">
        <is>
          <t>-</t>
        </is>
      </c>
      <c r="E46" s="2" t="inlineStr">
        <is>
          <t>via FB3 120R</t>
        </is>
      </c>
      <c r="F46" s="2" t="inlineStr">
        <is>
          <t>verify</t>
        </is>
      </c>
    </row>
    <row r="47">
      <c r="A47" s="3" t="inlineStr">
        <is>
          <t>Power</t>
        </is>
      </c>
      <c r="B47" s="3" t="inlineStr">
        <is>
          <t>SWVDD</t>
        </is>
      </c>
      <c r="C47" s="3" t="inlineStr">
        <is>
          <t>53</t>
        </is>
      </c>
      <c r="D47" s="3" t="inlineStr">
        <is>
          <t>-</t>
        </is>
      </c>
      <c r="E47" s="3" t="inlineStr">
        <is>
          <t>C31 10uF + C32 0.1uF</t>
        </is>
      </c>
      <c r="F47" s="3" t="inlineStr">
        <is>
          <t>verify</t>
        </is>
      </c>
    </row>
    <row r="48">
      <c r="A48" s="2" t="inlineStr">
        <is>
          <t>Power</t>
        </is>
      </c>
      <c r="B48" s="2" t="inlineStr">
        <is>
          <t>VDDCORE ~1.1V</t>
        </is>
      </c>
      <c r="C48" s="2" t="inlineStr">
        <is>
          <t>56</t>
        </is>
      </c>
      <c r="D48" s="2" t="inlineStr">
        <is>
          <t>-</t>
        </is>
      </c>
      <c r="E48" s="2" t="inlineStr">
        <is>
          <t>L2 SRN2012T-100K + C34 10uF/C33 0.1uF</t>
        </is>
      </c>
      <c r="F48" s="2" t="inlineStr">
        <is>
          <t>READ</t>
        </is>
      </c>
    </row>
    <row r="49">
      <c r="A49" s="3" t="inlineStr">
        <is>
          <t>Power</t>
        </is>
      </c>
      <c r="B49" s="3" t="inlineStr">
        <is>
          <t>LX</t>
        </is>
      </c>
      <c r="C49" s="3" t="inlineStr">
        <is>
          <t>54</t>
        </is>
      </c>
      <c r="D49" s="3" t="inlineStr">
        <is>
          <t>-</t>
        </is>
      </c>
      <c r="E49" s="3" t="inlineStr">
        <is>
          <t>buck switch</t>
        </is>
      </c>
      <c r="F49" s="3" t="inlineStr">
        <is>
          <t>verify</t>
        </is>
      </c>
    </row>
    <row r="50">
      <c r="A50" s="2" t="inlineStr">
        <is>
          <t>Power</t>
        </is>
      </c>
      <c r="B50" s="2" t="inlineStr">
        <is>
          <t>SWVSS</t>
        </is>
      </c>
      <c r="C50" s="2" t="inlineStr">
        <is>
          <t>55</t>
        </is>
      </c>
      <c r="D50" s="2" t="inlineStr">
        <is>
          <t>-</t>
        </is>
      </c>
      <c r="E50" s="2">
        <f>0V</f>
        <v/>
      </c>
      <c r="F50" s="2" t="inlineStr">
        <is>
          <t>READ</t>
        </is>
      </c>
    </row>
    <row r="51">
      <c r="A51" s="3" t="inlineStr">
        <is>
          <t>Power</t>
        </is>
      </c>
      <c r="B51" s="3" t="inlineStr">
        <is>
          <t>VSS</t>
        </is>
      </c>
      <c r="C51" s="3" t="inlineStr">
        <is>
          <t>4/18/25/37/47/57</t>
        </is>
      </c>
      <c r="D51" s="3" t="inlineStr">
        <is>
          <t>-</t>
        </is>
      </c>
      <c r="E51" s="3" t="inlineStr">
        <is>
          <t>grounds</t>
        </is>
      </c>
      <c r="F51" s="3" t="inlineStr">
        <is>
          <t>READ</t>
        </is>
      </c>
    </row>
    <row r="52">
      <c r="A52" s="2" t="inlineStr">
        <is>
          <t>Power</t>
        </is>
      </c>
      <c r="B52" s="2" t="inlineStr">
        <is>
          <t>AVSS / EP</t>
        </is>
      </c>
      <c r="C52" s="2" t="inlineStr">
        <is>
          <t>10 / 65</t>
        </is>
      </c>
      <c r="D52" s="2" t="inlineStr">
        <is>
          <t>-</t>
        </is>
      </c>
      <c r="E52" s="2" t="inlineStr">
        <is>
          <t>analog gnd / exposed pad</t>
        </is>
      </c>
      <c r="F52" s="2" t="inlineStr">
        <is>
          <t>READ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28" customWidth="1" min="3" max="3"/>
    <col width="12" customWidth="1" min="4" max="4"/>
    <col width="44" customWidth="1" min="5" max="5"/>
  </cols>
  <sheetData>
    <row r="1" ht="28" customHeight="1">
      <c r="A1" s="1" t="inlineStr">
        <is>
          <t>Connector</t>
        </is>
      </c>
      <c r="B1" s="1" t="inlineStr">
        <is>
          <t>Pin</t>
        </is>
      </c>
      <c r="C1" s="1" t="inlineStr">
        <is>
          <t>Net</t>
        </is>
      </c>
      <c r="D1" s="1" t="inlineStr">
        <is>
          <t>dsPIC pin</t>
        </is>
      </c>
      <c r="E1" s="1" t="inlineStr">
        <is>
          <t>Type / note</t>
        </is>
      </c>
    </row>
    <row r="2">
      <c r="A2" s="2" t="inlineStr">
        <is>
          <t>J1 (BM12B-GHS-TBT,13pos)</t>
        </is>
      </c>
      <c r="B2" s="2" t="inlineStr">
        <is>
          <t>0</t>
        </is>
      </c>
      <c r="C2" s="2" t="inlineStr">
        <is>
          <t>NC (x)</t>
        </is>
      </c>
      <c r="D2" s="2" t="inlineStr">
        <is>
          <t>-</t>
        </is>
      </c>
      <c r="E2" s="2" t="inlineStr">
        <is>
          <t>unused</t>
        </is>
      </c>
    </row>
    <row r="3">
      <c r="A3" s="3" t="inlineStr">
        <is>
          <t>J1</t>
        </is>
      </c>
      <c r="B3" s="3" t="inlineStr">
        <is>
          <t>1</t>
        </is>
      </c>
      <c r="C3" s="3" t="inlineStr">
        <is>
          <t>GND</t>
        </is>
      </c>
      <c r="D3" s="3" t="inlineStr">
        <is>
          <t>-</t>
        </is>
      </c>
      <c r="E3" s="3" t="inlineStr">
        <is>
          <t>-</t>
        </is>
      </c>
    </row>
    <row r="4">
      <c r="A4" s="2" t="inlineStr">
        <is>
          <t>J1</t>
        </is>
      </c>
      <c r="B4" s="2" t="inlineStr">
        <is>
          <t>2</t>
        </is>
      </c>
      <c r="C4" s="2" t="inlineStr">
        <is>
          <t>DEBUG_RX</t>
        </is>
      </c>
      <c r="D4" s="2" t="inlineStr">
        <is>
          <t>RD8(63)</t>
        </is>
      </c>
      <c r="E4" s="2" t="inlineStr">
        <is>
          <t>digital (GSP RX)</t>
        </is>
      </c>
    </row>
    <row r="5">
      <c r="A5" s="3" t="inlineStr">
        <is>
          <t>J1</t>
        </is>
      </c>
      <c r="B5" s="3" t="inlineStr">
        <is>
          <t>3</t>
        </is>
      </c>
      <c r="C5" s="3" t="inlineStr">
        <is>
          <t>DEBUG_TX</t>
        </is>
      </c>
      <c r="D5" s="3" t="inlineStr">
        <is>
          <t>RD7(62)</t>
        </is>
      </c>
      <c r="E5" s="3" t="inlineStr">
        <is>
          <t>digital (GSP TX)</t>
        </is>
      </c>
    </row>
    <row r="6">
      <c r="A6" s="2" t="inlineStr">
        <is>
          <t>J1</t>
        </is>
      </c>
      <c r="B6" s="2" t="inlineStr">
        <is>
          <t>4</t>
        </is>
      </c>
      <c r="C6" s="2" t="inlineStr">
        <is>
          <t>GND</t>
        </is>
      </c>
      <c r="D6" s="2" t="inlineStr">
        <is>
          <t>-</t>
        </is>
      </c>
      <c r="E6" s="2" t="inlineStr">
        <is>
          <t>-</t>
        </is>
      </c>
    </row>
    <row r="7">
      <c r="A7" s="3" t="inlineStr">
        <is>
          <t>J1</t>
        </is>
      </c>
      <c r="B7" s="3" t="inlineStr">
        <is>
          <t>5</t>
        </is>
      </c>
      <c r="C7" s="3" t="inlineStr">
        <is>
          <t>TELE_RX</t>
        </is>
      </c>
      <c r="D7" s="3" t="inlineStr">
        <is>
          <t>RD4(61)</t>
        </is>
      </c>
      <c r="E7" s="3" t="inlineStr">
        <is>
          <t>digital</t>
        </is>
      </c>
    </row>
    <row r="8">
      <c r="A8" s="2" t="inlineStr">
        <is>
          <t>J1</t>
        </is>
      </c>
      <c r="B8" s="2" t="inlineStr">
        <is>
          <t>6</t>
        </is>
      </c>
      <c r="C8" s="2" t="inlineStr">
        <is>
          <t>TELE_TX</t>
        </is>
      </c>
      <c r="D8" s="2" t="inlineStr">
        <is>
          <t>RD6(60)</t>
        </is>
      </c>
      <c r="E8" s="2" t="inlineStr">
        <is>
          <t>digital</t>
        </is>
      </c>
    </row>
    <row r="9">
      <c r="A9" s="3" t="inlineStr">
        <is>
          <t>J1</t>
        </is>
      </c>
      <c r="B9" s="3" t="inlineStr">
        <is>
          <t>7</t>
        </is>
      </c>
      <c r="C9" s="3" t="inlineStr">
        <is>
          <t>DShot</t>
        </is>
      </c>
      <c r="D9" s="3" t="inlineStr">
        <is>
          <t>RD5(59)</t>
        </is>
      </c>
      <c r="E9" s="3" t="inlineStr">
        <is>
          <t>digital — recommended ARM switch</t>
        </is>
      </c>
    </row>
    <row r="10">
      <c r="A10" s="2" t="inlineStr">
        <is>
          <t>J1</t>
        </is>
      </c>
      <c r="B10" s="2" t="inlineStr">
        <is>
          <t>8</t>
        </is>
      </c>
      <c r="C10" s="2" t="inlineStr">
        <is>
          <t>PGC</t>
        </is>
      </c>
      <c r="D10" s="2" t="inlineStr">
        <is>
          <t>RC2(41)</t>
        </is>
      </c>
      <c r="E10" s="2" t="inlineStr">
        <is>
          <t>PGC3 digital-only (no ADC)</t>
        </is>
      </c>
    </row>
    <row r="11">
      <c r="A11" s="3" t="inlineStr">
        <is>
          <t>J1</t>
        </is>
      </c>
      <c r="B11" s="3" t="inlineStr">
        <is>
          <t>9</t>
        </is>
      </c>
      <c r="C11" s="3" t="inlineStr">
        <is>
          <t>PGD</t>
        </is>
      </c>
      <c r="D11" s="3" t="inlineStr">
        <is>
          <t>RC5(42)</t>
        </is>
      </c>
      <c r="E11" s="3" t="inlineStr">
        <is>
          <t>PGD3 digital-only (no ADC)</t>
        </is>
      </c>
    </row>
    <row r="12">
      <c r="A12" s="2" t="inlineStr">
        <is>
          <t>J1</t>
        </is>
      </c>
      <c r="B12" s="2" t="inlineStr">
        <is>
          <t>10</t>
        </is>
      </c>
      <c r="C12" s="2" t="inlineStr">
        <is>
          <t>GND</t>
        </is>
      </c>
      <c r="D12" s="2" t="inlineStr">
        <is>
          <t>-</t>
        </is>
      </c>
      <c r="E12" s="2" t="inlineStr">
        <is>
          <t>-</t>
        </is>
      </c>
    </row>
    <row r="13">
      <c r="A13" s="3" t="inlineStr">
        <is>
          <t>J1</t>
        </is>
      </c>
      <c r="B13" s="3" t="inlineStr">
        <is>
          <t>11</t>
        </is>
      </c>
      <c r="C13" s="3" t="inlineStr">
        <is>
          <t>+3.3VDC</t>
        </is>
      </c>
      <c r="D13" s="3" t="inlineStr">
        <is>
          <t>-</t>
        </is>
      </c>
      <c r="E13" s="3" t="inlineStr">
        <is>
          <t>-</t>
        </is>
      </c>
    </row>
    <row r="14">
      <c r="A14" s="2" t="inlineStr">
        <is>
          <t>J1</t>
        </is>
      </c>
      <c r="B14" s="2" t="inlineStr">
        <is>
          <t>12</t>
        </is>
      </c>
      <c r="C14" s="2" t="inlineStr">
        <is>
          <t>MCLR</t>
        </is>
      </c>
      <c r="D14" s="2" t="inlineStr">
        <is>
          <t>pin64</t>
        </is>
      </c>
      <c r="E14" s="2" t="inlineStr">
        <is>
          <t>reset (PWRGD-gated)</t>
        </is>
      </c>
    </row>
    <row r="15">
      <c r="A15" s="3" t="inlineStr">
        <is>
          <t>J2 (SM04B-GHS)</t>
        </is>
      </c>
      <c r="B15" s="3" t="inlineStr">
        <is>
          <t>1</t>
        </is>
      </c>
      <c r="C15" s="3" t="inlineStr">
        <is>
          <t>GND</t>
        </is>
      </c>
      <c r="D15" s="3" t="inlineStr">
        <is>
          <t>-</t>
        </is>
      </c>
      <c r="E15" s="3" t="inlineStr">
        <is>
          <t>-</t>
        </is>
      </c>
    </row>
    <row r="16">
      <c r="A16" s="2" t="inlineStr">
        <is>
          <t>J2</t>
        </is>
      </c>
      <c r="B16" s="2" t="inlineStr">
        <is>
          <t>2</t>
        </is>
      </c>
      <c r="C16" s="2" t="inlineStr">
        <is>
          <t>CAN_L</t>
        </is>
      </c>
      <c r="D16" s="2" t="inlineStr">
        <is>
          <t>-</t>
        </is>
      </c>
      <c r="E16" s="2" t="inlineStr">
        <is>
          <t>CAN</t>
        </is>
      </c>
    </row>
    <row r="17">
      <c r="A17" s="3" t="inlineStr">
        <is>
          <t>J2</t>
        </is>
      </c>
      <c r="B17" s="3" t="inlineStr">
        <is>
          <t>3</t>
        </is>
      </c>
      <c r="C17" s="3" t="inlineStr">
        <is>
          <t>CAN_H</t>
        </is>
      </c>
      <c r="D17" s="3" t="inlineStr">
        <is>
          <t>-</t>
        </is>
      </c>
      <c r="E17" s="3" t="inlineStr">
        <is>
          <t>CAN</t>
        </is>
      </c>
    </row>
    <row r="18">
      <c r="A18" s="2" t="inlineStr">
        <is>
          <t>J2</t>
        </is>
      </c>
      <c r="B18" s="2" t="inlineStr">
        <is>
          <t>4</t>
        </is>
      </c>
      <c r="C18" s="2" t="inlineStr">
        <is>
          <t>+5V</t>
        </is>
      </c>
      <c r="D18" s="2" t="inlineStr">
        <is>
          <t>-</t>
        </is>
      </c>
      <c r="E18" s="2" t="inlineStr">
        <is>
          <t>-</t>
        </is>
      </c>
    </row>
    <row r="19">
      <c r="A19" s="3" t="inlineStr">
        <is>
          <t>NOTE</t>
        </is>
      </c>
      <c r="B19" s="3" t="inlineStr"/>
      <c r="C19" s="3" t="inlineStr">
        <is>
          <t>NO ADC on connectors</t>
        </is>
      </c>
      <c r="D19" s="3" t="inlineStr"/>
      <c r="E19" s="3" t="inlineStr">
        <is>
          <t>but 'Speed' net (pin16/RA6) reserved — trace it; arm=digital J1 pin; throttle=GSP UART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0" customWidth="1" min="3" max="3"/>
    <col width="40" customWidth="1" min="4" max="4"/>
    <col width="8" customWidth="1" min="5" max="5"/>
  </cols>
  <sheetData>
    <row r="1" ht="28" customHeight="1">
      <c r="A1" s="1" t="inlineStr">
        <is>
          <t>Block</t>
        </is>
      </c>
      <c r="B1" s="1" t="inlineStr">
        <is>
          <t>Designator</t>
        </is>
      </c>
      <c r="C1" s="1" t="inlineStr">
        <is>
          <t>Value</t>
        </is>
      </c>
      <c r="D1" s="1" t="inlineStr">
        <is>
          <t>Node / notes</t>
        </is>
      </c>
      <c r="E1" s="1" t="inlineStr">
        <is>
          <t>Source</t>
        </is>
      </c>
    </row>
    <row r="2">
      <c r="A2" s="2" t="inlineStr">
        <is>
          <t>BEMF U</t>
        </is>
      </c>
      <c r="B2" s="2" t="inlineStr">
        <is>
          <t>R61 / R69</t>
        </is>
      </c>
      <c r="C2" s="2" t="inlineStr">
        <is>
          <t>24k / 2k</t>
        </is>
      </c>
      <c r="D2" s="2" t="inlineStr">
        <is>
          <t>divider 0.0769; tau~1.85us</t>
        </is>
      </c>
      <c r="E2" s="2" t="inlineStr">
        <is>
          <t>READ</t>
        </is>
      </c>
    </row>
    <row r="3">
      <c r="A3" s="3" t="inlineStr">
        <is>
          <t>BEMF U</t>
        </is>
      </c>
      <c r="B3" s="3" t="inlineStr">
        <is>
          <t>C64 / D13</t>
        </is>
      </c>
      <c r="C3" s="3" t="inlineStr">
        <is>
          <t>1000pF/50V / BAT54XV2T1G</t>
        </is>
      </c>
      <c r="D3" s="3" t="inlineStr">
        <is>
          <t>filter / clamp 3.3V</t>
        </is>
      </c>
      <c r="E3" s="3" t="inlineStr">
        <is>
          <t>READ</t>
        </is>
      </c>
    </row>
    <row r="4">
      <c r="A4" s="2" t="inlineStr">
        <is>
          <t>BEMF V</t>
        </is>
      </c>
      <c r="B4" s="2" t="inlineStr">
        <is>
          <t>R62 / R70</t>
        </is>
      </c>
      <c r="C4" s="2" t="inlineStr">
        <is>
          <t>24k / 2k</t>
        </is>
      </c>
      <c r="D4" s="2" t="inlineStr">
        <is>
          <t>mirror U</t>
        </is>
      </c>
      <c r="E4" s="2" t="inlineStr">
        <is>
          <t>READ</t>
        </is>
      </c>
    </row>
    <row r="5">
      <c r="A5" s="3" t="inlineStr">
        <is>
          <t>BEMF V</t>
        </is>
      </c>
      <c r="B5" s="3" t="inlineStr">
        <is>
          <t>C65 / D14</t>
        </is>
      </c>
      <c r="C5" s="3" t="inlineStr">
        <is>
          <t>1000pF/50V / BAT54XV2T1G</t>
        </is>
      </c>
      <c r="D5" s="3" t="inlineStr">
        <is>
          <t>-</t>
        </is>
      </c>
      <c r="E5" s="3" t="inlineStr">
        <is>
          <t>READ</t>
        </is>
      </c>
    </row>
    <row r="6">
      <c r="A6" s="2" t="inlineStr">
        <is>
          <t>BEMF W</t>
        </is>
      </c>
      <c r="B6" s="2" t="inlineStr">
        <is>
          <t>R63 / R71</t>
        </is>
      </c>
      <c r="C6" s="2" t="inlineStr">
        <is>
          <t>24k / 2k</t>
        </is>
      </c>
      <c r="D6" s="2" t="inlineStr">
        <is>
          <t>mirror U</t>
        </is>
      </c>
      <c r="E6" s="2" t="inlineStr">
        <is>
          <t>READ</t>
        </is>
      </c>
    </row>
    <row r="7">
      <c r="A7" s="3" t="inlineStr">
        <is>
          <t>BEMF W</t>
        </is>
      </c>
      <c r="B7" s="3" t="inlineStr">
        <is>
          <t>C66 / D15</t>
        </is>
      </c>
      <c r="C7" s="3" t="inlineStr">
        <is>
          <t>1000pF/50V / BAT54XV2T1G</t>
        </is>
      </c>
      <c r="D7" s="3" t="inlineStr">
        <is>
          <t>-</t>
        </is>
      </c>
      <c r="E7" s="3" t="inlineStr">
        <is>
          <t>READ</t>
        </is>
      </c>
    </row>
    <row r="8">
      <c r="A8" s="2" t="inlineStr">
        <is>
          <t>Neutral</t>
        </is>
      </c>
      <c r="B8" s="2" t="inlineStr">
        <is>
          <t>R60/R64/R67</t>
        </is>
      </c>
      <c r="C8" s="2" t="inlineStr">
        <is>
          <t>24k each</t>
        </is>
      </c>
      <c r="D8" s="2" t="inlineStr">
        <is>
          <t>PHASE_U/V/W -&gt; BEMF_N</t>
        </is>
      </c>
      <c r="E8" s="2" t="inlineStr">
        <is>
          <t>READ</t>
        </is>
      </c>
    </row>
    <row r="9">
      <c r="A9" s="3" t="inlineStr">
        <is>
          <t>Neutral</t>
        </is>
      </c>
      <c r="B9" s="3" t="inlineStr">
        <is>
          <t>R68 / C63</t>
        </is>
      </c>
      <c r="C9" s="3" t="inlineStr">
        <is>
          <t>680R / 6800pF/50V</t>
        </is>
      </c>
      <c r="D9" s="3" t="inlineStr">
        <is>
          <t>node-&gt;GND; tau~4.26us</t>
        </is>
      </c>
      <c r="E9" s="3" t="inlineStr">
        <is>
          <t>READ</t>
        </is>
      </c>
    </row>
    <row r="10">
      <c r="A10" s="2" t="inlineStr">
        <is>
          <t>I-sense U (OA1)</t>
        </is>
      </c>
      <c r="B10" s="2" t="inlineStr">
        <is>
          <t>R43 / R51</t>
        </is>
      </c>
      <c r="C10" s="2" t="inlineStr">
        <is>
          <t>330R / 330R</t>
        </is>
      </c>
      <c r="D10" s="2" t="inlineStr">
        <is>
          <t>series IN+/IN-</t>
        </is>
      </c>
      <c r="E10" s="2" t="inlineStr">
        <is>
          <t>READ</t>
        </is>
      </c>
    </row>
    <row r="11">
      <c r="A11" s="3" t="inlineStr">
        <is>
          <t>I-sense U (OA1)</t>
        </is>
      </c>
      <c r="B11" s="3" t="inlineStr">
        <is>
          <t>R41 / R49</t>
        </is>
      </c>
      <c r="C11" s="3" t="inlineStr">
        <is>
          <t>470R / 470R</t>
        </is>
      </c>
      <c r="D11" s="3" t="inlineStr">
        <is>
          <t>to op-amp</t>
        </is>
      </c>
      <c r="E11" s="3" t="inlineStr">
        <is>
          <t>READ</t>
        </is>
      </c>
    </row>
    <row r="12">
      <c r="A12" s="2" t="inlineStr">
        <is>
          <t>I-sense U (OA1)</t>
        </is>
      </c>
      <c r="B12" s="2" t="inlineStr">
        <is>
          <t>C54 / R33</t>
        </is>
      </c>
      <c r="C12" s="2" t="inlineStr">
        <is>
          <t>22pF / 12k</t>
        </is>
      </c>
      <c r="D12" s="2" t="inlineStr">
        <is>
          <t>feedback (R33 fb, near output)</t>
        </is>
      </c>
      <c r="E12" s="2" t="inlineStr">
        <is>
          <t>READ</t>
        </is>
      </c>
    </row>
    <row r="13">
      <c r="A13" s="3" t="inlineStr">
        <is>
          <t>I-sense U (OA1)</t>
        </is>
      </c>
      <c r="B13" s="3" t="inlineStr">
        <is>
          <t>R39</t>
        </is>
      </c>
      <c r="C13" s="3" t="inlineStr">
        <is>
          <t>12k</t>
        </is>
      </c>
      <c r="D13" s="3" t="inlineStr">
        <is>
          <t>UREF bias</t>
        </is>
      </c>
      <c r="E13" s="3" t="inlineStr">
        <is>
          <t>READ</t>
        </is>
      </c>
    </row>
    <row r="14">
      <c r="A14" s="2" t="inlineStr">
        <is>
          <t>I-sense U (OA1)</t>
        </is>
      </c>
      <c r="B14" s="2" t="inlineStr">
        <is>
          <t>C48/C51/C56</t>
        </is>
      </c>
      <c r="C14" s="2" t="inlineStr">
        <is>
          <t>1500pF / 2200pF / 1500pF</t>
        </is>
      </c>
      <c r="D14" s="2" t="inlineStr">
        <is>
          <t>IN+GND / diff / IN-GND</t>
        </is>
      </c>
      <c r="E14" s="2" t="inlineStr">
        <is>
          <t>READ</t>
        </is>
      </c>
    </row>
    <row r="15">
      <c r="A15" s="3" t="inlineStr">
        <is>
          <t>I-sense U (OA1)</t>
        </is>
      </c>
      <c r="B15" s="3" t="inlineStr">
        <is>
          <t>R36 + D9 + C45</t>
        </is>
      </c>
      <c r="C15" s="3" t="inlineStr">
        <is>
          <t>10R + PMEG3020EJ + 1000pF</t>
        </is>
      </c>
      <c r="D15" s="3" t="inlineStr">
        <is>
          <t>output series/clamp/filter</t>
        </is>
      </c>
      <c r="E15" s="3" t="inlineStr">
        <is>
          <t>READ</t>
        </is>
      </c>
    </row>
    <row r="16">
      <c r="A16" s="2" t="inlineStr">
        <is>
          <t>I-sense U (OA1)</t>
        </is>
      </c>
      <c r="B16" s="2" t="inlineStr">
        <is>
          <t>gain</t>
        </is>
      </c>
      <c r="C16" s="2" t="inlineStr">
        <is>
          <t>36.4 -&gt; 73 mV/A</t>
        </is>
      </c>
      <c r="D16" s="2" t="inlineStr">
        <is>
          <t>R-fb/Rin @2mΩ</t>
        </is>
      </c>
      <c r="E16" s="2" t="inlineStr">
        <is>
          <t>READ</t>
        </is>
      </c>
    </row>
    <row r="17">
      <c r="A17" s="3" t="inlineStr">
        <is>
          <t>I-sense V (OA2)</t>
        </is>
      </c>
      <c r="B17" s="3" t="inlineStr">
        <is>
          <t>R44/R52 ; R45/R53</t>
        </is>
      </c>
      <c r="C17" s="3" t="inlineStr">
        <is>
          <t>330R ; 470R</t>
        </is>
      </c>
      <c r="D17" s="3" t="inlineStr">
        <is>
          <t>mirror U</t>
        </is>
      </c>
      <c r="E17" s="3" t="inlineStr">
        <is>
          <t>READ</t>
        </is>
      </c>
    </row>
    <row r="18">
      <c r="A18" s="2" t="inlineStr">
        <is>
          <t>I-sense V (OA2)</t>
        </is>
      </c>
      <c r="B18" s="2" t="inlineStr">
        <is>
          <t>R40 ; C55 ; C49/C52/C57</t>
        </is>
      </c>
      <c r="C18" s="2" t="inlineStr">
        <is>
          <t>12k bias ; 22pF ; 1500/2200/1500pF</t>
        </is>
      </c>
      <c r="D18" s="2" t="inlineStr">
        <is>
          <t>-</t>
        </is>
      </c>
      <c r="E18" s="2" t="inlineStr">
        <is>
          <t>READ</t>
        </is>
      </c>
    </row>
    <row r="19">
      <c r="A19" s="3" t="inlineStr">
        <is>
          <t>I-sense V (OA2)</t>
        </is>
      </c>
      <c r="B19" s="3" t="inlineStr">
        <is>
          <t>R37 + D10 + C46 + R34</t>
        </is>
      </c>
      <c r="C19" s="3" t="inlineStr">
        <is>
          <t>10R + PMEG3020EJ + 1000pF + 12k</t>
        </is>
      </c>
      <c r="D19" s="3" t="inlineStr">
        <is>
          <t>output net</t>
        </is>
      </c>
      <c r="E19" s="3" t="inlineStr">
        <is>
          <t>READ</t>
        </is>
      </c>
    </row>
    <row r="20">
      <c r="A20" s="2" t="inlineStr">
        <is>
          <t>I-sense W (ATA CSA)</t>
        </is>
      </c>
      <c r="B20" s="2" t="inlineStr">
        <is>
          <t>R48 shunt</t>
        </is>
      </c>
      <c r="C20" s="2" t="inlineStr">
        <is>
          <t>2 mΩ</t>
        </is>
      </c>
      <c r="D20" s="2" t="inlineStr">
        <is>
          <t>'Current Sensed @ ATA6847'</t>
        </is>
      </c>
      <c r="E20" s="2" t="inlineStr">
        <is>
          <t>READ</t>
        </is>
      </c>
    </row>
    <row r="21">
      <c r="A21" s="3" t="inlineStr">
        <is>
          <t>I-sense W (ATA CSA)</t>
        </is>
      </c>
      <c r="B21" s="3" t="inlineStr">
        <is>
          <t>R42/R50 + C50/C53</t>
        </is>
      </c>
      <c r="C21" s="3" t="inlineStr">
        <is>
          <t>4.7R + 0.022uF/0.1uF</t>
        </is>
      </c>
      <c r="D21" s="3" t="inlineStr">
        <is>
          <t>W_OPP2/W_OPN2 -&gt; ATA OPA2</t>
        </is>
      </c>
      <c r="E21" s="3" t="inlineStr">
        <is>
          <t>READ</t>
        </is>
      </c>
    </row>
    <row r="22">
      <c r="A22" s="2" t="inlineStr">
        <is>
          <t>I-sense W (ATA CSA)</t>
        </is>
      </c>
      <c r="B22" s="2" t="inlineStr">
        <is>
          <t>R38 + D11 + C47 + R35</t>
        </is>
      </c>
      <c r="C22" s="2" t="inlineStr">
        <is>
          <t>10R + PMEG3020EJ + 1000pF + 12k</t>
        </is>
      </c>
      <c r="D22" s="2" t="inlineStr">
        <is>
          <t>output net</t>
        </is>
      </c>
      <c r="E22" s="2" t="inlineStr">
        <is>
          <t>READ</t>
        </is>
      </c>
    </row>
    <row r="23">
      <c r="A23" s="3" t="inlineStr">
        <is>
          <t>I-sense bus (ATA CSA)</t>
        </is>
      </c>
      <c r="B23" s="3" t="inlineStr">
        <is>
          <t>R57 shunt</t>
        </is>
      </c>
      <c r="C23" s="3" t="inlineStr">
        <is>
          <t>2 mΩ</t>
        </is>
      </c>
      <c r="D23" s="3" t="inlineStr">
        <is>
          <t>'2mOhm -&gt; change part/package' note</t>
        </is>
      </c>
      <c r="E23" s="3" t="inlineStr">
        <is>
          <t>READ</t>
        </is>
      </c>
    </row>
    <row r="24">
      <c r="A24" s="2" t="inlineStr">
        <is>
          <t>I-sense bus (ATA CSA)</t>
        </is>
      </c>
      <c r="B24" s="2" t="inlineStr">
        <is>
          <t>R56/R58 + C59/C60/C61</t>
        </is>
      </c>
      <c r="C24" s="2" t="inlineStr">
        <is>
          <t>4.7R + 0.022uF/0.1uF/0.022uF</t>
        </is>
      </c>
      <c r="D24" s="2" t="inlineStr">
        <is>
          <t>IBUS_OPP3/OPN3 -&gt; ATA OPA3</t>
        </is>
      </c>
      <c r="E24" s="2" t="inlineStr">
        <is>
          <t>READ</t>
        </is>
      </c>
    </row>
    <row r="25">
      <c r="A25" s="3" t="inlineStr">
        <is>
          <t>VBUS</t>
        </is>
      </c>
      <c r="B25" s="3" t="inlineStr">
        <is>
          <t>R59 / R66</t>
        </is>
      </c>
      <c r="C25" s="3" t="inlineStr">
        <is>
          <t>24k / 2k</t>
        </is>
      </c>
      <c r="D25" s="3" t="inlineStr">
        <is>
          <t>0.0769 -&gt; 1.92V@25V</t>
        </is>
      </c>
      <c r="E25" s="3" t="inlineStr">
        <is>
          <t>READ</t>
        </is>
      </c>
    </row>
    <row r="26">
      <c r="A26" s="2" t="inlineStr">
        <is>
          <t>VBUS</t>
        </is>
      </c>
      <c r="B26" s="2" t="inlineStr">
        <is>
          <t>C62 / D12</t>
        </is>
      </c>
      <c r="C26" s="2" t="inlineStr">
        <is>
          <t>1000pF/50V / BAT54XV2T1G</t>
        </is>
      </c>
      <c r="D26" s="2" t="inlineStr">
        <is>
          <t>filter / clamp</t>
        </is>
      </c>
      <c r="E26" s="2" t="inlineStr">
        <is>
          <t>READ</t>
        </is>
      </c>
    </row>
    <row r="27">
      <c r="A27" s="3" t="inlineStr">
        <is>
          <t>TEMP</t>
        </is>
      </c>
      <c r="B27" s="3" t="inlineStr">
        <is>
          <t>TH1 / R65</t>
        </is>
      </c>
      <c r="C27" s="3" t="inlineStr">
        <is>
          <t>10k NTC (beta?) / 4.7k</t>
        </is>
      </c>
      <c r="D27" s="3" t="inlineStr">
        <is>
          <t>3.3V-&gt;TH1-&gt;TEMP-&gt;R65-&gt;GND</t>
        </is>
      </c>
      <c r="E27" s="3" t="inlineStr">
        <is>
          <t>READ</t>
        </is>
      </c>
    </row>
    <row r="28">
      <c r="A28" s="2" t="inlineStr">
        <is>
          <t>ATA VS</t>
        </is>
      </c>
      <c r="B28" s="2" t="inlineStr">
        <is>
          <t>FB1 + C4 + C5</t>
        </is>
      </c>
      <c r="C28" s="2" t="inlineStr">
        <is>
          <t>600R + 10uF/50V + 0.1uF</t>
        </is>
      </c>
      <c r="D28" s="2" t="inlineStr">
        <is>
          <t>pin3</t>
        </is>
      </c>
      <c r="E28" s="2" t="inlineStr">
        <is>
          <t>verify</t>
        </is>
      </c>
    </row>
    <row r="29">
      <c r="A29" s="3" t="inlineStr">
        <is>
          <t>ATA VDD1/VDD2</t>
        </is>
      </c>
      <c r="B29" s="3" t="inlineStr">
        <is>
          <t>C7 / C8</t>
        </is>
      </c>
      <c r="C29" s="3" t="inlineStr">
        <is>
          <t>2.2uF/16V each</t>
        </is>
      </c>
      <c r="D29" s="3" t="inlineStr">
        <is>
          <t>5V / 3.3V VVIO</t>
        </is>
      </c>
      <c r="E29" s="3" t="inlineStr">
        <is>
          <t>verify</t>
        </is>
      </c>
    </row>
    <row r="30">
      <c r="A30" s="2" t="inlineStr">
        <is>
          <t>ATA VDH</t>
        </is>
      </c>
      <c r="B30" s="2" t="inlineStr">
        <is>
          <t>C3 + C6</t>
        </is>
      </c>
      <c r="C30" s="2" t="inlineStr">
        <is>
          <t>0.1uF + 1uF</t>
        </is>
      </c>
      <c r="D30" s="2" t="inlineStr">
        <is>
          <t>pin15</t>
        </is>
      </c>
      <c r="E30" s="2" t="inlineStr">
        <is>
          <t>verify</t>
        </is>
      </c>
    </row>
    <row r="31">
      <c r="A31" s="3" t="inlineStr">
        <is>
          <t>ATA CPP2/CPN2</t>
        </is>
      </c>
      <c r="B31" s="3" t="inlineStr">
        <is>
          <t>C9</t>
        </is>
      </c>
      <c r="C31" s="3" t="inlineStr">
        <is>
          <t>0.22uF/50V 0603</t>
        </is>
      </c>
      <c r="D31" s="3" t="inlineStr">
        <is>
          <t>17/16</t>
        </is>
      </c>
      <c r="E31" s="3" t="inlineStr">
        <is>
          <t>verify</t>
        </is>
      </c>
    </row>
    <row r="32">
      <c r="A32" s="2" t="inlineStr">
        <is>
          <t>ATA VG</t>
        </is>
      </c>
      <c r="B32" s="2" t="inlineStr">
        <is>
          <t>C10</t>
        </is>
      </c>
      <c r="C32" s="2" t="inlineStr">
        <is>
          <t>3.3uF/25V 0805</t>
        </is>
      </c>
      <c r="D32" s="2" t="inlineStr">
        <is>
          <t>pin9</t>
        </is>
      </c>
      <c r="E32" s="2" t="inlineStr">
        <is>
          <t>verify</t>
        </is>
      </c>
    </row>
    <row r="33">
      <c r="A33" s="3" t="inlineStr">
        <is>
          <t>ATA CPP1/CPN1</t>
        </is>
      </c>
      <c r="B33" s="3" t="inlineStr">
        <is>
          <t>C12</t>
        </is>
      </c>
      <c r="C33" s="3" t="inlineStr">
        <is>
          <t>0.22uF/50V 0603</t>
        </is>
      </c>
      <c r="D33" s="3" t="inlineStr">
        <is>
          <t>13/14</t>
        </is>
      </c>
      <c r="E33" s="3" t="inlineStr">
        <is>
          <t>verify</t>
        </is>
      </c>
    </row>
    <row r="34">
      <c r="A34" s="2" t="inlineStr">
        <is>
          <t>ATA LH</t>
        </is>
      </c>
      <c r="B34" s="2" t="inlineStr">
        <is>
          <t>R3</t>
        </is>
      </c>
      <c r="C34" s="2" t="inlineStr">
        <is>
          <t>10k</t>
        </is>
      </c>
      <c r="D34" s="2" t="inlineStr">
        <is>
          <t>-&gt; VVIO</t>
        </is>
      </c>
      <c r="E34" s="2" t="inlineStr">
        <is>
          <t>verify</t>
        </is>
      </c>
    </row>
    <row r="35">
      <c r="A35" s="3" t="inlineStr">
        <is>
          <t>MCU VDD decoupl</t>
        </is>
      </c>
      <c r="B35" s="3" t="inlineStr">
        <is>
          <t>C22 + C23..C28</t>
        </is>
      </c>
      <c r="C35" s="3" t="inlineStr">
        <is>
          <t>1uF + 6x0.1uF (16V 0402)</t>
        </is>
      </c>
      <c r="D35" s="3" t="inlineStr">
        <is>
          <t>VDD pins</t>
        </is>
      </c>
      <c r="E35" s="3" t="inlineStr">
        <is>
          <t>READ</t>
        </is>
      </c>
    </row>
    <row r="36">
      <c r="A36" s="2" t="inlineStr">
        <is>
          <t>VDDCORE</t>
        </is>
      </c>
      <c r="B36" s="2" t="inlineStr">
        <is>
          <t>L2 / C33 / C34</t>
        </is>
      </c>
      <c r="C36" s="2" t="inlineStr">
        <is>
          <t>SRN2012T-100K / 0.1uF / 10uF</t>
        </is>
      </c>
      <c r="D36" s="2" t="inlineStr">
        <is>
          <t>internal buck</t>
        </is>
      </c>
      <c r="E36" s="2" t="inlineStr">
        <is>
          <t>READ</t>
        </is>
      </c>
    </row>
    <row r="37">
      <c r="A37" s="3" t="inlineStr">
        <is>
          <t>AVDD</t>
        </is>
      </c>
      <c r="B37" s="3" t="inlineStr">
        <is>
          <t>FB3 + C29 + C30</t>
        </is>
      </c>
      <c r="C37" s="3" t="inlineStr">
        <is>
          <t>120R + 1uF + 0.1uF</t>
        </is>
      </c>
      <c r="D37" s="3" t="inlineStr">
        <is>
          <t>-</t>
        </is>
      </c>
      <c r="E37" s="3" t="inlineStr">
        <is>
          <t>READ</t>
        </is>
      </c>
    </row>
    <row r="38">
      <c r="A38" s="2" t="inlineStr">
        <is>
          <t>Power input</t>
        </is>
      </c>
      <c r="B38" s="2" t="inlineStr">
        <is>
          <t>C1 / C2 / D1</t>
        </is>
      </c>
      <c r="C38" s="2" t="inlineStr">
        <is>
          <t>330uF/100V x2 / SMAJ26A TVS</t>
        </is>
      </c>
      <c r="D38" s="2" t="inlineStr">
        <is>
          <t>bus bulk + TVS</t>
        </is>
      </c>
      <c r="E38" s="2" t="inlineStr">
        <is>
          <t>verify</t>
        </is>
      </c>
    </row>
    <row r="39">
      <c r="A39" s="3" t="inlineStr">
        <is>
          <t>MCLR</t>
        </is>
      </c>
      <c r="B39" s="3" t="inlineStr">
        <is>
          <t>R16 / R17 / C38</t>
        </is>
      </c>
      <c r="C39" s="3" t="inlineStr">
        <is>
          <t>0R / 470R / -</t>
        </is>
      </c>
      <c r="D39" s="3" t="inlineStr">
        <is>
          <t>PWRGD gate</t>
        </is>
      </c>
      <c r="E39" s="3" t="inlineStr">
        <is>
          <t>verify</t>
        </is>
      </c>
    </row>
    <row r="40">
      <c r="A40" s="2" t="inlineStr">
        <is>
          <t>Gate drive (HS, x3)</t>
        </is>
      </c>
      <c r="B40" s="2" t="inlineStr">
        <is>
          <t>R18/R19/R20</t>
        </is>
      </c>
      <c r="C40" s="2" t="inlineStr">
        <is>
          <t>22R</t>
        </is>
      </c>
      <c r="D40" s="2" t="inlineStr">
        <is>
          <t>series gate (turn-on)</t>
        </is>
      </c>
      <c r="E40" s="2" t="inlineStr">
        <is>
          <t>READ</t>
        </is>
      </c>
    </row>
    <row r="41">
      <c r="A41" s="3" t="inlineStr">
        <is>
          <t>Gate drive (x3)</t>
        </is>
      </c>
      <c r="B41" s="3" t="inlineStr">
        <is>
          <t>R24/R25/R26 + D6/D7/D8</t>
        </is>
      </c>
      <c r="C41" s="3" t="inlineStr">
        <is>
          <t>10R + PMEG3020EJ</t>
        </is>
      </c>
      <c r="D41" s="3" t="inlineStr">
        <is>
          <t>turn-off path</t>
        </is>
      </c>
      <c r="E41" s="3" t="inlineStr">
        <is>
          <t>READ</t>
        </is>
      </c>
    </row>
    <row r="42">
      <c r="A42" s="2" t="inlineStr">
        <is>
          <t>Gate drive (x3)</t>
        </is>
      </c>
      <c r="B42" s="2" t="inlineStr">
        <is>
          <t>C42/C43/C44</t>
        </is>
      </c>
      <c r="C42" s="2" t="inlineStr">
        <is>
          <t>1000pF/50V</t>
        </is>
      </c>
      <c r="D42" s="2" t="inlineStr">
        <is>
          <t>gate cap</t>
        </is>
      </c>
      <c r="E42" s="2" t="inlineStr">
        <is>
          <t>READ</t>
        </is>
      </c>
    </row>
    <row r="43">
      <c r="A43" s="3" t="inlineStr">
        <is>
          <t>Gate drive (x3)</t>
        </is>
      </c>
      <c r="B43" s="3" t="inlineStr">
        <is>
          <t>R21/R22/R23</t>
        </is>
      </c>
      <c r="C43" s="3" t="inlineStr">
        <is>
          <t>120k</t>
        </is>
      </c>
      <c r="D43" s="3" t="inlineStr">
        <is>
          <t>gate-source pulldown</t>
        </is>
      </c>
      <c r="E43" s="3" t="inlineStr">
        <is>
          <t>READ</t>
        </is>
      </c>
    </row>
    <row r="44">
      <c r="A44" s="2" t="inlineStr">
        <is>
          <t>Gate drive</t>
        </is>
      </c>
      <c r="B44" s="2" t="inlineStr">
        <is>
          <t>R27-R32</t>
        </is>
      </c>
      <c r="C44" s="2" t="inlineStr">
        <is>
          <t>3.3R</t>
        </is>
      </c>
      <c r="D44" s="2" t="inlineStr">
        <is>
          <t>source / LS series</t>
        </is>
      </c>
      <c r="E44" s="2" t="inlineStr">
        <is>
          <t>READ</t>
        </is>
      </c>
    </row>
    <row r="45">
      <c r="A45" s="3" t="inlineStr">
        <is>
          <t>Bridge</t>
        </is>
      </c>
      <c r="B45" s="3" t="inlineStr">
        <is>
          <t>C39/C40/C41</t>
        </is>
      </c>
      <c r="C45" s="3" t="inlineStr">
        <is>
          <t>10uF/75V 1210</t>
        </is>
      </c>
      <c r="D45" s="3" t="inlineStr">
        <is>
          <t>per-leg bus decoupling</t>
        </is>
      </c>
      <c r="E45" s="3" t="inlineStr">
        <is>
          <t>READ</t>
        </is>
      </c>
    </row>
    <row r="46">
      <c r="A46" s="2" t="inlineStr">
        <is>
          <t>MOSFETs</t>
        </is>
      </c>
      <c r="B46" s="2" t="inlineStr">
        <is>
          <t>Q1-Q6</t>
        </is>
      </c>
      <c r="C46" s="2" t="inlineStr">
        <is>
          <t>BSC028N06NS (NSSC?)</t>
        </is>
      </c>
      <c r="D46" s="2" t="inlineStr">
        <is>
          <t>60V ~2.8mΩ; HS Q1-3 (U/V/W), LS Q4-6</t>
        </is>
      </c>
      <c r="E46" s="2" t="inlineStr">
        <is>
          <t>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2026-06-18T19:35:48Z</dcterms:created>
  <dcterms:modified xmlns:dcterms="http://purl.org/dc/terms/" xmlns:xsi="http://www.w3.org/2001/XMLSchema-instance" xsi:type="dcterms:W3CDTF">2026-06-18T19:35:48Z</dcterms:modified>
</cp:coreProperties>
</file>